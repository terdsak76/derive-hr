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deriv\Desktop\"/>
    </mc:Choice>
  </mc:AlternateContent>
  <xr:revisionPtr revIDLastSave="0" documentId="13_ncr:1_{C9CB18CA-D284-451D-8808-8791BFD5C470}" xr6:coauthVersionLast="47" xr6:coauthVersionMax="47" xr10:uidLastSave="{00000000-0000-0000-0000-000000000000}"/>
  <bookViews>
    <workbookView xWindow="-110" yWindow="-110" windowWidth="19420" windowHeight="10300" tabRatio="372" xr2:uid="{00000000-000D-0000-FFFF-FFFF00000000}"/>
  </bookViews>
  <sheets>
    <sheet name="Tax.original" sheetId="7" r:id="rId1"/>
    <sheet name="Tax.Copy 1" sheetId="12" r:id="rId2"/>
  </sheets>
  <definedNames>
    <definedName name="_xlnm.Print_Area" localSheetId="1">'Tax.Copy 1'!$A$1:$J$39</definedName>
    <definedName name="_xlnm.Print_Area" localSheetId="0">Tax.original!$A$1:$J$39</definedName>
    <definedName name="_xlnm.Print_Area">#REF!</definedName>
    <definedName name="quotation_form" localSheetId="1">#REF!</definedName>
    <definedName name="quotation_form" localSheetId="0">#REF!</definedName>
    <definedName name="quotation_for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8" i="12" l="1"/>
  <c r="H38" i="12" s="1"/>
  <c r="I19" i="12"/>
  <c r="I18" i="12"/>
  <c r="I20" i="12" s="1"/>
  <c r="B20" i="12" l="1"/>
  <c r="I22" i="12"/>
  <c r="I23" i="12" s="1"/>
  <c r="B38" i="7"/>
  <c r="H38" i="7" s="1"/>
  <c r="E26" i="12" l="1"/>
  <c r="B23" i="12"/>
  <c r="I19" i="7"/>
  <c r="I18" i="7"/>
  <c r="I20" i="7" s="1"/>
  <c r="I22" i="7" l="1"/>
  <c r="I23" i="7" s="1"/>
  <c r="B20" i="7"/>
  <c r="E26" i="7" l="1"/>
  <c r="B23" i="7"/>
</calcChain>
</file>

<file path=xl/sharedStrings.xml><?xml version="1.0" encoding="utf-8"?>
<sst xmlns="http://schemas.openxmlformats.org/spreadsheetml/2006/main" count="92" uniqueCount="46">
  <si>
    <t>ลำดับที่</t>
  </si>
  <si>
    <t>รายการ</t>
  </si>
  <si>
    <t>ITEM</t>
  </si>
  <si>
    <t>Quantity</t>
  </si>
  <si>
    <t>จำนวนเงิน</t>
  </si>
  <si>
    <t>Amount</t>
  </si>
  <si>
    <t>DESCRIPTION</t>
  </si>
  <si>
    <t xml:space="preserve">วันที่ Date :     </t>
  </si>
  <si>
    <t xml:space="preserve">เลขที่/ No. :   </t>
  </si>
  <si>
    <t>รวมเงิน</t>
  </si>
  <si>
    <t>ราคา/หน่วย</t>
  </si>
  <si>
    <t>Price/Unit</t>
  </si>
  <si>
    <t>จำนวน</t>
  </si>
  <si>
    <t>( Receipt / Tax Invoice)</t>
  </si>
  <si>
    <t xml:space="preserve">ใบเสร็จรับเงิน / ใบกำกับภาษี  </t>
  </si>
  <si>
    <t>เล่มที่ 001</t>
  </si>
  <si>
    <t xml:space="preserve">Company: </t>
  </si>
  <si>
    <t>Attention:</t>
  </si>
  <si>
    <t xml:space="preserve">CC: </t>
  </si>
  <si>
    <t>(ในกรณีชำระด้วยเช็ค โปรดสั่งจ่ายและขีดคร่อมในนาม "บริษัท ดีไรฟ์ อินโนเวชั่น จำกัด" เท่านั้น)</t>
  </si>
  <si>
    <t>All Cheque payment should be made payable to "Derive Innovation Co., Ltd." and cross account payee only</t>
  </si>
  <si>
    <t>ชำระเงินโดย</t>
  </si>
  <si>
    <t>(   ) เงินสด ( Cash)</t>
  </si>
  <si>
    <t>ผู้รับเงิน / Collector By</t>
  </si>
  <si>
    <t>ผู้อนุมัติ / Authorized Signature</t>
  </si>
  <si>
    <t>หมายเหตุ: ยอดเงินหน้าเช็ค หรือรับเงินสด หลังหักภาษี ณ ที่จ่าย 3%</t>
  </si>
  <si>
    <t>คงเหลือเงิน</t>
  </si>
  <si>
    <t>บาท</t>
  </si>
  <si>
    <t>(   ) เช็ค (Cheque) ธนาคาร/Bank ……………………...……. เลขที่/No. ………………………………………………..………. ลงวันที่/Date …………...……</t>
  </si>
  <si>
    <t>บริษัท ดีไรฟ์ อินโนเวชั่น จำกัด</t>
  </si>
  <si>
    <t xml:space="preserve">653/37 ถ.จรัญสนิทวงศ์ แขวงอรุณอมรินทร์ เขตบางกอกน้อย กรุงเทพมหานคร 10700                          </t>
  </si>
  <si>
    <t>(ต้นฉบับ)</t>
  </si>
  <si>
    <t>ภาษีมูลค่าเพิ่ม 7%</t>
  </si>
  <si>
    <t>รวมทั้งสิ้น</t>
  </si>
  <si>
    <t>(สำเนา)</t>
  </si>
  <si>
    <t>บริษัท เอสเอฟซี เอกเซลเล้นซ์ จำกัด</t>
  </si>
  <si>
    <t>196/4 หมู่ 1 ถ.สุขสวัสดิ์ ต.ปากคลองบางปลากด อ.พระสมุทรเจดีย์ จ.สมุทรปราการ 10290</t>
  </si>
  <si>
    <t xml:space="preserve">Tax ID: 0105556107148 สำนักงานใหญ่ </t>
  </si>
  <si>
    <t>เลขประจำตัวผู้เสียภาษี: 0105518000269 ,สำนักงานใหญ่</t>
  </si>
  <si>
    <t>เรียกเก็บค่าบริการ:การจัดทำระบบควบคุมการจัดส่งสินค้าให้กับลูกค้าProof Of Delivery System (POD)</t>
  </si>
  <si>
    <t xml:space="preserve"> ชำระค่าบริการล่วงหน้า 3 เดือน </t>
  </si>
  <si>
    <t>( นางสาวกัลยรัตน์ ฉัตรทันใจ )</t>
  </si>
  <si>
    <t>REC-2026/016</t>
  </si>
  <si>
    <t xml:space="preserve">  (Ref: INV-2026/023)</t>
  </si>
  <si>
    <t>ค่าใช้บริการรายเดือน (11เครื่อง x 550บาท =  6,050 บาท)เดือนก.ค.69 - ก.ย.69</t>
  </si>
  <si>
    <t xml:space="preserve">( / )  โอนเข้าบัญชี เลขที่ 016-8-53748-4  ธนาคาร/Bank กสิกรไทย. สาขา/Branch วรจักร.. วันที่/Date 20 สิงหาคม 2569…………....…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</si>
</sst>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[$-107041E]d\ mmmm\ yyyy;@"/>
  </numFmts>
  <fonts count="16" x14ac:knownFonts="1">
    <font>
      <sz val="14"/>
      <name val="CordiaUPC"/>
    </font>
    <font>
      <sz val="14"/>
      <name val="CordiaUPC"/>
      <family val="2"/>
    </font>
    <font>
      <u/>
      <sz val="14"/>
      <color theme="10"/>
      <name val="CordiaUPC"/>
      <family val="2"/>
    </font>
    <font>
      <u/>
      <sz val="14"/>
      <color theme="11"/>
      <name val="CordiaUPC"/>
      <family val="2"/>
    </font>
    <font>
      <sz val="16"/>
      <name val="Cordia New"/>
      <family val="2"/>
    </font>
    <font>
      <b/>
      <i/>
      <sz val="24"/>
      <name val="Cordia New"/>
      <family val="2"/>
    </font>
    <font>
      <sz val="14"/>
      <name val="Cordia New"/>
      <family val="2"/>
    </font>
    <font>
      <b/>
      <sz val="12"/>
      <name val="Cordia New"/>
      <family val="2"/>
    </font>
    <font>
      <b/>
      <sz val="20"/>
      <name val="Cordia New"/>
      <family val="2"/>
    </font>
    <font>
      <sz val="12"/>
      <name val="Cordia New"/>
      <family val="2"/>
    </font>
    <font>
      <b/>
      <sz val="14"/>
      <name val="Cordia New"/>
      <family val="2"/>
    </font>
    <font>
      <sz val="10"/>
      <name val="Cordia New"/>
      <family val="2"/>
    </font>
    <font>
      <b/>
      <sz val="10"/>
      <name val="Cordia New"/>
      <family val="2"/>
    </font>
    <font>
      <b/>
      <sz val="16"/>
      <name val="Cordia New"/>
      <family val="2"/>
    </font>
    <font>
      <sz val="11"/>
      <name val="Cordia New"/>
      <family val="2"/>
    </font>
    <font>
      <sz val="13"/>
      <name val="Cordia Ne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</borders>
  <cellStyleXfs count="2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9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vertical="top"/>
    </xf>
    <xf numFmtId="0" fontId="4" fillId="0" borderId="0" xfId="0" applyFont="1" applyAlignment="1">
      <alignment horizontal="right" vertical="top"/>
    </xf>
    <xf numFmtId="0" fontId="9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right" vertical="top"/>
    </xf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6" fontId="6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right"/>
    </xf>
    <xf numFmtId="0" fontId="10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7" fillId="2" borderId="9" xfId="0" applyFont="1" applyFill="1" applyBorder="1" applyAlignment="1">
      <alignment horizontal="center"/>
    </xf>
    <xf numFmtId="0" fontId="7" fillId="2" borderId="2" xfId="0" applyFont="1" applyFill="1" applyBorder="1"/>
    <xf numFmtId="0" fontId="7" fillId="2" borderId="2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7" fillId="3" borderId="8" xfId="0" applyFont="1" applyFill="1" applyBorder="1"/>
    <xf numFmtId="0" fontId="7" fillId="3" borderId="8" xfId="0" applyFont="1" applyFill="1" applyBorder="1" applyAlignment="1">
      <alignment horizontal="center"/>
    </xf>
    <xf numFmtId="0" fontId="7" fillId="0" borderId="4" xfId="0" applyFont="1" applyBorder="1" applyAlignment="1">
      <alignment horizontal="center" vertical="top" wrapText="1"/>
    </xf>
    <xf numFmtId="3" fontId="4" fillId="0" borderId="4" xfId="0" applyNumberFormat="1" applyFont="1" applyBorder="1" applyAlignment="1">
      <alignment horizontal="center" vertical="top"/>
    </xf>
    <xf numFmtId="165" fontId="4" fillId="0" borderId="8" xfId="1" applyNumberFormat="1" applyFont="1" applyBorder="1" applyAlignment="1">
      <alignment horizontal="center" vertical="top"/>
    </xf>
    <xf numFmtId="164" fontId="4" fillId="0" borderId="4" xfId="1" applyFont="1" applyBorder="1" applyAlignment="1">
      <alignment horizontal="right" vertical="top"/>
    </xf>
    <xf numFmtId="0" fontId="4" fillId="0" borderId="8" xfId="0" applyFont="1" applyBorder="1" applyAlignment="1">
      <alignment horizontal="center" vertical="top"/>
    </xf>
    <xf numFmtId="0" fontId="9" fillId="0" borderId="12" xfId="0" applyFont="1" applyBorder="1" applyAlignment="1">
      <alignment horizontal="right"/>
    </xf>
    <xf numFmtId="164" fontId="9" fillId="0" borderId="12" xfId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right"/>
    </xf>
    <xf numFmtId="164" fontId="6" fillId="0" borderId="11" xfId="1" applyFont="1" applyBorder="1" applyAlignment="1">
      <alignment horizontal="center"/>
    </xf>
    <xf numFmtId="0" fontId="15" fillId="0" borderId="12" xfId="0" applyFont="1" applyBorder="1" applyAlignment="1">
      <alignment horizontal="right"/>
    </xf>
    <xf numFmtId="0" fontId="13" fillId="0" borderId="14" xfId="0" applyFont="1" applyBorder="1" applyAlignment="1">
      <alignment horizontal="right"/>
    </xf>
    <xf numFmtId="164" fontId="13" fillId="0" borderId="15" xfId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164" fontId="13" fillId="0" borderId="0" xfId="1" applyFont="1" applyBorder="1" applyAlignment="1">
      <alignment horizontal="center"/>
    </xf>
    <xf numFmtId="0" fontId="7" fillId="0" borderId="0" xfId="0" applyFont="1" applyAlignment="1">
      <alignment vertical="top"/>
    </xf>
    <xf numFmtId="0" fontId="6" fillId="0" borderId="0" xfId="0" applyFont="1" applyAlignment="1">
      <alignment horizontal="right"/>
    </xf>
    <xf numFmtId="164" fontId="10" fillId="0" borderId="0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43" fontId="10" fillId="0" borderId="0" xfId="0" applyNumberFormat="1" applyFont="1" applyAlignment="1">
      <alignment horizontal="center"/>
    </xf>
    <xf numFmtId="0" fontId="13" fillId="0" borderId="0" xfId="0" applyFont="1" applyAlignment="1">
      <alignment horizontal="left"/>
    </xf>
    <xf numFmtId="0" fontId="5" fillId="0" borderId="0" xfId="0" applyFont="1" applyAlignment="1">
      <alignment horizontal="right" vertical="center"/>
    </xf>
    <xf numFmtId="0" fontId="10" fillId="0" borderId="6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8" xfId="0" applyFont="1" applyBorder="1" applyAlignment="1">
      <alignment horizontal="left"/>
    </xf>
    <xf numFmtId="0" fontId="9" fillId="0" borderId="0" xfId="0" applyFont="1" applyAlignment="1">
      <alignment horizontal="center"/>
    </xf>
    <xf numFmtId="166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</cellXfs>
  <cellStyles count="24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23" name="Picture 1" descr="company logo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8480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24" name="Picture 2" descr="company logo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8480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25" name="Picture 3" descr="company logo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8480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26" name="Picture 4" descr="company logo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8480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27" name="Picture 5" descr="company logo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8480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28" name="Picture 6" descr="company logo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8480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29" name="Picture 7" descr="company logo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8480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30" name="Picture 8" descr="company logo.jp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8480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31" name="Picture 9" descr="company logo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8480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32" name="Picture 10" descr="company logo.jp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8480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33" name="Picture 11" descr="company logo.jp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8480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34" name="Picture 12" descr="company logo.jp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8480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35" name="Picture 13" descr="company logo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84807" cy="457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2" name="Picture 1" descr="company logo.jpg">
          <a:extLst>
            <a:ext uri="{FF2B5EF4-FFF2-40B4-BE49-F238E27FC236}">
              <a16:creationId xmlns:a16="http://schemas.microsoft.com/office/drawing/2014/main" id="{D92778E7-4A49-4115-ABE3-25B60BBA5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1150" y="171450"/>
          <a:ext cx="184670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4" name="Picture 2" descr="company logo.jpg">
          <a:extLst>
            <a:ext uri="{FF2B5EF4-FFF2-40B4-BE49-F238E27FC236}">
              <a16:creationId xmlns:a16="http://schemas.microsoft.com/office/drawing/2014/main" id="{C951C967-CF4B-42A0-B9BD-3BFB50B49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1150" y="171450"/>
          <a:ext cx="184670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5" name="Picture 3" descr="company logo.jpg">
          <a:extLst>
            <a:ext uri="{FF2B5EF4-FFF2-40B4-BE49-F238E27FC236}">
              <a16:creationId xmlns:a16="http://schemas.microsoft.com/office/drawing/2014/main" id="{70C52FEB-A11A-4CBF-9ED9-7F513FAB0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1150" y="171450"/>
          <a:ext cx="184670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6" name="Picture 4" descr="company logo.jpg">
          <a:extLst>
            <a:ext uri="{FF2B5EF4-FFF2-40B4-BE49-F238E27FC236}">
              <a16:creationId xmlns:a16="http://schemas.microsoft.com/office/drawing/2014/main" id="{6EEA690D-64F6-4E74-8501-8794C56AD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1150" y="171450"/>
          <a:ext cx="184670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7" name="Picture 5" descr="company logo.jpg">
          <a:extLst>
            <a:ext uri="{FF2B5EF4-FFF2-40B4-BE49-F238E27FC236}">
              <a16:creationId xmlns:a16="http://schemas.microsoft.com/office/drawing/2014/main" id="{E2654202-7314-41A4-88CB-28DA38087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1150" y="171450"/>
          <a:ext cx="184670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8" name="Picture 6" descr="company logo.jpg">
          <a:extLst>
            <a:ext uri="{FF2B5EF4-FFF2-40B4-BE49-F238E27FC236}">
              <a16:creationId xmlns:a16="http://schemas.microsoft.com/office/drawing/2014/main" id="{50361CBD-ACB1-49C8-B2DB-3FB59F42B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1150" y="171450"/>
          <a:ext cx="184670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9" name="Picture 7" descr="company logo.jpg">
          <a:extLst>
            <a:ext uri="{FF2B5EF4-FFF2-40B4-BE49-F238E27FC236}">
              <a16:creationId xmlns:a16="http://schemas.microsoft.com/office/drawing/2014/main" id="{AC51513A-B05E-4DEE-A869-D70DAFE2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1150" y="171450"/>
          <a:ext cx="184670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10" name="Picture 8" descr="company logo.jpg">
          <a:extLst>
            <a:ext uri="{FF2B5EF4-FFF2-40B4-BE49-F238E27FC236}">
              <a16:creationId xmlns:a16="http://schemas.microsoft.com/office/drawing/2014/main" id="{3BFA89AD-E4DD-4BEF-B382-148A30585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1150" y="171450"/>
          <a:ext cx="184670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11" name="Picture 9" descr="company logo.jpg">
          <a:extLst>
            <a:ext uri="{FF2B5EF4-FFF2-40B4-BE49-F238E27FC236}">
              <a16:creationId xmlns:a16="http://schemas.microsoft.com/office/drawing/2014/main" id="{9B979434-5860-4AED-BB0F-0555FF483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1150" y="171450"/>
          <a:ext cx="184670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12" name="Picture 10" descr="company logo.jpg">
          <a:extLst>
            <a:ext uri="{FF2B5EF4-FFF2-40B4-BE49-F238E27FC236}">
              <a16:creationId xmlns:a16="http://schemas.microsoft.com/office/drawing/2014/main" id="{B4167493-20B9-4DA1-9BF5-492E95DCE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1150" y="171450"/>
          <a:ext cx="184670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13" name="Picture 11" descr="company logo.jpg">
          <a:extLst>
            <a:ext uri="{FF2B5EF4-FFF2-40B4-BE49-F238E27FC236}">
              <a16:creationId xmlns:a16="http://schemas.microsoft.com/office/drawing/2014/main" id="{302D5BA0-5AFE-491C-B887-BCAE18381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1150" y="171450"/>
          <a:ext cx="184670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14" name="Picture 12" descr="company logo.jpg">
          <a:extLst>
            <a:ext uri="{FF2B5EF4-FFF2-40B4-BE49-F238E27FC236}">
              <a16:creationId xmlns:a16="http://schemas.microsoft.com/office/drawing/2014/main" id="{00740CBA-D311-47A8-8749-B1C577793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1150" y="171450"/>
          <a:ext cx="184670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4</xdr:col>
      <xdr:colOff>208407</xdr:colOff>
      <xdr:row>1</xdr:row>
      <xdr:rowOff>457200</xdr:rowOff>
    </xdr:to>
    <xdr:pic>
      <xdr:nvPicPr>
        <xdr:cNvPr id="15" name="Picture 13" descr="company logo.jpg">
          <a:extLst>
            <a:ext uri="{FF2B5EF4-FFF2-40B4-BE49-F238E27FC236}">
              <a16:creationId xmlns:a16="http://schemas.microsoft.com/office/drawing/2014/main" id="{DBA21452-98C9-4F08-AD08-F0BE3F159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1150" y="171450"/>
          <a:ext cx="1846707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9"/>
  <sheetViews>
    <sheetView showGridLines="0" tabSelected="1" showWhiteSpace="0" view="pageBreakPreview" topLeftCell="A31" zoomScaleNormal="100" zoomScaleSheetLayoutView="100" zoomScalePageLayoutView="93" workbookViewId="0">
      <selection activeCell="F37" sqref="F37"/>
    </sheetView>
  </sheetViews>
  <sheetFormatPr defaultColWidth="8.8984375" defaultRowHeight="24.5" x14ac:dyDescent="0.85"/>
  <cols>
    <col min="1" max="1" width="4.8984375" style="1" customWidth="1"/>
    <col min="2" max="2" width="10.296875" style="1" customWidth="1"/>
    <col min="3" max="3" width="5.3984375" style="1" customWidth="1"/>
    <col min="4" max="4" width="10.09765625" style="1" customWidth="1"/>
    <col min="5" max="5" width="18" style="1" customWidth="1"/>
    <col min="6" max="6" width="12.69921875" style="1" customWidth="1"/>
    <col min="7" max="7" width="17" style="1" customWidth="1"/>
    <col min="8" max="8" width="13.8984375" style="1" customWidth="1"/>
    <col min="9" max="9" width="23.8984375" style="1" customWidth="1"/>
    <col min="10" max="10" width="5" style="1" bestFit="1" customWidth="1"/>
    <col min="11" max="16384" width="8.8984375" style="1"/>
  </cols>
  <sheetData>
    <row r="1" spans="2:10" ht="13.5" customHeight="1" x14ac:dyDescent="0.85"/>
    <row r="2" spans="2:10" ht="38.15" customHeight="1" x14ac:dyDescent="0.85">
      <c r="B2" s="57" t="s">
        <v>14</v>
      </c>
      <c r="C2" s="57"/>
      <c r="D2" s="57"/>
      <c r="E2" s="57"/>
      <c r="F2" s="57"/>
      <c r="G2" s="57"/>
      <c r="H2" s="57"/>
      <c r="I2" s="57"/>
      <c r="J2" s="2"/>
    </row>
    <row r="3" spans="2:10" ht="21" customHeight="1" x14ac:dyDescent="0.85">
      <c r="B3" s="3" t="s">
        <v>29</v>
      </c>
      <c r="C3" s="4"/>
      <c r="D3" s="4"/>
      <c r="E3" s="4"/>
      <c r="F3" s="4"/>
      <c r="G3" s="4"/>
      <c r="H3" s="4"/>
      <c r="I3" s="5" t="s">
        <v>13</v>
      </c>
      <c r="J3" s="2"/>
    </row>
    <row r="4" spans="2:10" ht="24" customHeight="1" x14ac:dyDescent="0.85">
      <c r="B4" s="6" t="s">
        <v>30</v>
      </c>
      <c r="C4" s="6"/>
      <c r="D4" s="6"/>
      <c r="E4" s="6"/>
      <c r="F4" s="6"/>
      <c r="G4" s="6"/>
      <c r="H4" s="6"/>
      <c r="I4" s="7" t="s">
        <v>31</v>
      </c>
    </row>
    <row r="5" spans="2:10" ht="24" customHeight="1" x14ac:dyDescent="0.85">
      <c r="B5" s="8" t="s">
        <v>37</v>
      </c>
      <c r="C5" s="8"/>
      <c r="D5" s="8"/>
      <c r="E5" s="8"/>
      <c r="F5" s="8"/>
      <c r="G5" s="9"/>
      <c r="H5" s="9"/>
      <c r="I5" s="10"/>
    </row>
    <row r="6" spans="2:10" ht="23.15" customHeight="1" x14ac:dyDescent="0.85">
      <c r="B6" s="11" t="s">
        <v>15</v>
      </c>
      <c r="C6" s="12"/>
      <c r="D6" s="2"/>
      <c r="E6" s="2"/>
      <c r="F6" s="2"/>
      <c r="G6" s="2"/>
      <c r="H6" s="13" t="s">
        <v>8</v>
      </c>
      <c r="I6" s="14" t="s">
        <v>42</v>
      </c>
    </row>
    <row r="7" spans="2:10" x14ac:dyDescent="0.85">
      <c r="B7" s="11" t="s">
        <v>17</v>
      </c>
      <c r="C7" s="12"/>
      <c r="D7" s="12"/>
      <c r="E7" s="12"/>
      <c r="F7" s="12"/>
      <c r="G7" s="12"/>
      <c r="H7" s="15" t="s">
        <v>7</v>
      </c>
      <c r="I7" s="16">
        <v>46254</v>
      </c>
    </row>
    <row r="8" spans="2:10" ht="23.25" customHeight="1" x14ac:dyDescent="0.85">
      <c r="B8" s="15" t="s">
        <v>16</v>
      </c>
      <c r="C8" s="17"/>
      <c r="D8" s="12" t="s">
        <v>35</v>
      </c>
      <c r="E8" s="12"/>
      <c r="F8" s="12"/>
      <c r="G8" s="12"/>
      <c r="H8" s="12"/>
    </row>
    <row r="9" spans="2:10" ht="26.25" customHeight="1" x14ac:dyDescent="0.85">
      <c r="B9" s="2"/>
      <c r="C9" s="2"/>
      <c r="D9" s="12" t="s">
        <v>36</v>
      </c>
      <c r="E9" s="12"/>
      <c r="F9" s="12"/>
      <c r="G9" s="12"/>
      <c r="H9" s="12"/>
      <c r="I9" s="2"/>
      <c r="J9" s="2"/>
    </row>
    <row r="10" spans="2:10" ht="27" customHeight="1" x14ac:dyDescent="0.85">
      <c r="B10" s="18"/>
      <c r="C10" s="18"/>
      <c r="D10" s="12" t="s">
        <v>38</v>
      </c>
      <c r="E10" s="12"/>
      <c r="F10" s="12"/>
      <c r="G10" s="12"/>
      <c r="H10" s="12"/>
      <c r="I10" s="2"/>
      <c r="J10" s="2"/>
    </row>
    <row r="11" spans="2:10" ht="18" customHeight="1" x14ac:dyDescent="0.85">
      <c r="B11" s="18"/>
      <c r="C11" s="19" t="s">
        <v>18</v>
      </c>
      <c r="D11" s="2"/>
      <c r="E11" s="2"/>
      <c r="F11" s="2"/>
      <c r="G11" s="2"/>
      <c r="H11" s="2"/>
      <c r="I11" s="2"/>
      <c r="J11" s="2"/>
    </row>
    <row r="12" spans="2:10" ht="10" customHeight="1" x14ac:dyDescent="0.85">
      <c r="B12" s="20"/>
      <c r="C12" s="21"/>
      <c r="D12" s="21"/>
      <c r="E12" s="21"/>
      <c r="F12" s="21"/>
      <c r="G12" s="21"/>
      <c r="H12" s="21"/>
      <c r="I12" s="21"/>
      <c r="J12" s="2"/>
    </row>
    <row r="13" spans="2:10" s="12" customFormat="1" ht="18.5" x14ac:dyDescent="0.65">
      <c r="B13" s="22" t="s">
        <v>0</v>
      </c>
      <c r="C13" s="23"/>
      <c r="D13" s="23"/>
      <c r="E13" s="24" t="s">
        <v>1</v>
      </c>
      <c r="F13" s="23"/>
      <c r="G13" s="22" t="s">
        <v>10</v>
      </c>
      <c r="H13" s="22" t="s">
        <v>12</v>
      </c>
      <c r="I13" s="22" t="s">
        <v>4</v>
      </c>
      <c r="J13" s="11"/>
    </row>
    <row r="14" spans="2:10" s="12" customFormat="1" ht="18.5" x14ac:dyDescent="0.65">
      <c r="B14" s="25" t="s">
        <v>2</v>
      </c>
      <c r="C14" s="26"/>
      <c r="D14" s="26"/>
      <c r="E14" s="27" t="s">
        <v>6</v>
      </c>
      <c r="F14" s="26"/>
      <c r="G14" s="25" t="s">
        <v>11</v>
      </c>
      <c r="H14" s="25" t="s">
        <v>3</v>
      </c>
      <c r="I14" s="25" t="s">
        <v>5</v>
      </c>
    </row>
    <row r="15" spans="2:10" s="12" customFormat="1" ht="18.5" x14ac:dyDescent="0.65">
      <c r="B15" s="28"/>
      <c r="C15" s="29"/>
      <c r="D15" s="29"/>
      <c r="E15" s="30"/>
      <c r="F15" s="31"/>
      <c r="G15" s="28"/>
      <c r="H15" s="32"/>
      <c r="I15" s="28"/>
    </row>
    <row r="16" spans="2:10" ht="39.75" customHeight="1" x14ac:dyDescent="0.85">
      <c r="B16" s="33">
        <v>1</v>
      </c>
      <c r="C16" s="58" t="s">
        <v>39</v>
      </c>
      <c r="D16" s="59"/>
      <c r="E16" s="59"/>
      <c r="F16" s="60"/>
      <c r="G16" s="34"/>
      <c r="H16" s="35"/>
      <c r="I16" s="36"/>
    </row>
    <row r="17" spans="2:9" ht="25.5" customHeight="1" x14ac:dyDescent="0.85">
      <c r="B17" s="33"/>
      <c r="C17" s="61" t="s">
        <v>40</v>
      </c>
      <c r="D17" s="62"/>
      <c r="E17" s="62"/>
      <c r="F17" s="63"/>
      <c r="G17" s="34"/>
      <c r="H17" s="35"/>
      <c r="I17" s="36"/>
    </row>
    <row r="18" spans="2:9" ht="43.5" customHeight="1" x14ac:dyDescent="0.85">
      <c r="B18" s="33"/>
      <c r="C18" s="61" t="s">
        <v>44</v>
      </c>
      <c r="D18" s="62"/>
      <c r="E18" s="62"/>
      <c r="F18" s="63"/>
      <c r="G18" s="34">
        <v>6050</v>
      </c>
      <c r="H18" s="37">
        <v>3</v>
      </c>
      <c r="I18" s="36">
        <f>G18*H18</f>
        <v>18150</v>
      </c>
    </row>
    <row r="19" spans="2:9" ht="26.25" customHeight="1" x14ac:dyDescent="0.85">
      <c r="B19" s="33"/>
      <c r="C19" s="64" t="s">
        <v>43</v>
      </c>
      <c r="D19" s="65"/>
      <c r="E19" s="65"/>
      <c r="F19" s="66"/>
      <c r="G19" s="34"/>
      <c r="H19" s="35"/>
      <c r="I19" s="36">
        <f>G19*H19</f>
        <v>0</v>
      </c>
    </row>
    <row r="20" spans="2:9" s="2" customFormat="1" ht="21.5" x14ac:dyDescent="0.75">
      <c r="B20" s="70" t="str">
        <f>BAHTTEXT(I20)</f>
        <v>หนึ่งหมื่นแปดพันหนึ่งร้อยห้าสิบบาทถ้วน</v>
      </c>
      <c r="C20" s="71"/>
      <c r="D20" s="71"/>
      <c r="E20" s="71"/>
      <c r="F20" s="71"/>
      <c r="G20" s="72"/>
      <c r="H20" s="38" t="s">
        <v>9</v>
      </c>
      <c r="I20" s="39">
        <f>SUM(I16:I19)</f>
        <v>18150</v>
      </c>
    </row>
    <row r="21" spans="2:9" s="2" customFormat="1" ht="10" customHeight="1" x14ac:dyDescent="0.75">
      <c r="B21" s="40"/>
      <c r="C21" s="41"/>
      <c r="D21" s="41"/>
      <c r="E21" s="41"/>
      <c r="F21" s="41"/>
      <c r="G21" s="41"/>
      <c r="H21" s="42"/>
      <c r="I21" s="43"/>
    </row>
    <row r="22" spans="2:9" s="2" customFormat="1" ht="21.5" x14ac:dyDescent="0.75">
      <c r="B22" s="73"/>
      <c r="C22" s="74"/>
      <c r="D22" s="74"/>
      <c r="E22" s="74"/>
      <c r="F22" s="74"/>
      <c r="G22" s="75"/>
      <c r="H22" s="44" t="s">
        <v>32</v>
      </c>
      <c r="I22" s="43">
        <f>I20*0.07</f>
        <v>1270.5000000000002</v>
      </c>
    </row>
    <row r="23" spans="2:9" s="2" customFormat="1" ht="24" thickBot="1" x14ac:dyDescent="0.8">
      <c r="B23" s="76" t="str">
        <f>CONCATENATE("(   ***", BAHTTEXT(I23), "***   )")</f>
        <v>(   ***หนึ่งหมื่นเก้าพันสี่ร้อยยี่สิบบาทห้าสิบสตางค์***   )</v>
      </c>
      <c r="C23" s="77"/>
      <c r="D23" s="77"/>
      <c r="E23" s="77"/>
      <c r="F23" s="77"/>
      <c r="G23" s="78"/>
      <c r="H23" s="45" t="s">
        <v>33</v>
      </c>
      <c r="I23" s="46">
        <f>I20+I22</f>
        <v>19420.5</v>
      </c>
    </row>
    <row r="24" spans="2:9" s="2" customFormat="1" ht="10.5" customHeight="1" thickTop="1" x14ac:dyDescent="0.75">
      <c r="B24" s="47"/>
      <c r="C24" s="47"/>
      <c r="D24" s="47"/>
      <c r="E24" s="47"/>
      <c r="F24" s="47"/>
      <c r="G24" s="47"/>
      <c r="H24" s="48"/>
      <c r="I24" s="49"/>
    </row>
    <row r="25" spans="2:9" s="2" customFormat="1" ht="21.5" x14ac:dyDescent="0.75">
      <c r="B25" s="47"/>
      <c r="C25" s="50" t="s">
        <v>25</v>
      </c>
      <c r="D25" s="50"/>
      <c r="E25" s="50"/>
      <c r="F25" s="50"/>
      <c r="G25" s="47"/>
      <c r="H25" s="51"/>
      <c r="I25" s="52"/>
    </row>
    <row r="26" spans="2:9" s="2" customFormat="1" ht="18.75" customHeight="1" x14ac:dyDescent="0.75">
      <c r="B26" s="53"/>
      <c r="C26" s="13" t="s">
        <v>26</v>
      </c>
      <c r="D26" s="54"/>
      <c r="E26" s="55">
        <f>I23-(I20*0.03)</f>
        <v>18876</v>
      </c>
      <c r="F26" s="13" t="s">
        <v>27</v>
      </c>
      <c r="G26" s="53"/>
      <c r="H26" s="51"/>
      <c r="I26" s="52"/>
    </row>
    <row r="27" spans="2:9" s="2" customFormat="1" ht="13" customHeight="1" x14ac:dyDescent="0.75">
      <c r="B27" s="17"/>
      <c r="C27" s="53"/>
      <c r="D27" s="53"/>
      <c r="E27" s="53"/>
      <c r="F27" s="53"/>
      <c r="G27" s="53"/>
      <c r="H27" s="51"/>
      <c r="I27" s="52"/>
    </row>
    <row r="28" spans="2:9" s="2" customFormat="1" ht="21.5" x14ac:dyDescent="0.75">
      <c r="B28" s="15" t="s">
        <v>19</v>
      </c>
      <c r="C28" s="53"/>
      <c r="D28" s="53"/>
      <c r="E28" s="53"/>
      <c r="F28" s="53"/>
      <c r="G28" s="53"/>
      <c r="H28" s="51"/>
      <c r="I28" s="52"/>
    </row>
    <row r="29" spans="2:9" s="2" customFormat="1" ht="21.5" x14ac:dyDescent="0.75">
      <c r="B29" s="12" t="s">
        <v>20</v>
      </c>
      <c r="C29" s="53"/>
      <c r="D29" s="53"/>
      <c r="E29" s="53"/>
      <c r="F29" s="53"/>
      <c r="G29" s="53"/>
      <c r="H29" s="51"/>
      <c r="I29" s="52"/>
    </row>
    <row r="30" spans="2:9" s="2" customFormat="1" ht="9" customHeight="1" x14ac:dyDescent="0.75">
      <c r="C30" s="53"/>
      <c r="D30" s="53"/>
      <c r="E30" s="53"/>
      <c r="F30" s="53"/>
      <c r="G30" s="53"/>
      <c r="H30" s="51"/>
      <c r="I30" s="52"/>
    </row>
    <row r="31" spans="2:9" s="2" customFormat="1" ht="21.5" x14ac:dyDescent="0.75">
      <c r="B31" s="2" t="s">
        <v>21</v>
      </c>
      <c r="C31" s="53"/>
      <c r="D31" s="53"/>
      <c r="E31" s="53"/>
      <c r="F31" s="53"/>
      <c r="G31" s="53"/>
      <c r="H31" s="51"/>
      <c r="I31" s="52"/>
    </row>
    <row r="32" spans="2:9" s="2" customFormat="1" x14ac:dyDescent="0.85">
      <c r="B32" s="17" t="s">
        <v>22</v>
      </c>
      <c r="C32" s="1"/>
      <c r="D32" s="53"/>
      <c r="E32" s="1"/>
      <c r="F32" s="53"/>
      <c r="G32" s="53"/>
      <c r="H32" s="51"/>
      <c r="I32" s="52"/>
    </row>
    <row r="33" spans="2:10" s="2" customFormat="1" x14ac:dyDescent="0.85">
      <c r="B33" s="17" t="s">
        <v>45</v>
      </c>
      <c r="C33" s="1"/>
      <c r="D33" s="53"/>
      <c r="E33" s="14"/>
      <c r="F33" s="53"/>
      <c r="G33" s="53"/>
      <c r="H33" s="51"/>
      <c r="I33" s="52"/>
    </row>
    <row r="34" spans="2:10" s="2" customFormat="1" x14ac:dyDescent="0.85">
      <c r="B34" s="17" t="s">
        <v>28</v>
      </c>
      <c r="C34" s="1"/>
      <c r="D34" s="53"/>
      <c r="E34" s="53"/>
      <c r="F34" s="53"/>
      <c r="G34" s="53"/>
      <c r="H34" s="51"/>
      <c r="I34" s="52"/>
    </row>
    <row r="35" spans="2:10" ht="48.75" customHeight="1" x14ac:dyDescent="0.85">
      <c r="B35" s="56"/>
      <c r="G35" s="56"/>
    </row>
    <row r="36" spans="2:10" x14ac:dyDescent="0.85">
      <c r="B36" s="67" t="s">
        <v>41</v>
      </c>
      <c r="C36" s="67"/>
      <c r="D36" s="67"/>
      <c r="E36" s="67"/>
      <c r="F36" s="2"/>
      <c r="G36" s="2"/>
      <c r="H36" s="67" t="s">
        <v>41</v>
      </c>
      <c r="I36" s="67"/>
    </row>
    <row r="37" spans="2:10" x14ac:dyDescent="0.85">
      <c r="B37" s="67" t="s">
        <v>23</v>
      </c>
      <c r="C37" s="67"/>
      <c r="D37" s="67"/>
      <c r="E37" s="67"/>
      <c r="F37" s="2"/>
      <c r="G37" s="13"/>
      <c r="H37" s="67" t="s">
        <v>24</v>
      </c>
      <c r="I37" s="67"/>
    </row>
    <row r="38" spans="2:10" x14ac:dyDescent="0.85">
      <c r="B38" s="68">
        <f>I7</f>
        <v>46254</v>
      </c>
      <c r="C38" s="69"/>
      <c r="D38" s="69"/>
      <c r="E38" s="69"/>
      <c r="F38" s="2"/>
      <c r="G38" s="2"/>
      <c r="H38" s="68">
        <f>B38</f>
        <v>46254</v>
      </c>
      <c r="I38" s="69"/>
      <c r="J38" s="2"/>
    </row>
    <row r="39" spans="2:10" ht="68.5" customHeight="1" x14ac:dyDescent="0.85"/>
  </sheetData>
  <mergeCells count="14">
    <mergeCell ref="B37:E37"/>
    <mergeCell ref="H37:I37"/>
    <mergeCell ref="B38:E38"/>
    <mergeCell ref="H38:I38"/>
    <mergeCell ref="B20:G20"/>
    <mergeCell ref="B22:G22"/>
    <mergeCell ref="B36:E36"/>
    <mergeCell ref="H36:I36"/>
    <mergeCell ref="B23:G23"/>
    <mergeCell ref="B2:I2"/>
    <mergeCell ref="C16:F16"/>
    <mergeCell ref="C17:F17"/>
    <mergeCell ref="C18:F18"/>
    <mergeCell ref="C19:F19"/>
  </mergeCells>
  <printOptions horizontalCentered="1"/>
  <pageMargins left="0.435" right="0" top="0.5" bottom="0" header="0.59" footer="0.16"/>
  <pageSetup scale="82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39"/>
  <sheetViews>
    <sheetView showGridLines="0" tabSelected="1" showWhiteSpace="0" view="pageBreakPreview" topLeftCell="A14" zoomScaleNormal="100" zoomScaleSheetLayoutView="100" workbookViewId="0">
      <selection activeCell="F37" sqref="F37"/>
    </sheetView>
  </sheetViews>
  <sheetFormatPr defaultColWidth="8.8984375" defaultRowHeight="24.5" x14ac:dyDescent="0.85"/>
  <cols>
    <col min="1" max="1" width="4.8984375" style="1" customWidth="1"/>
    <col min="2" max="2" width="10.296875" style="1" customWidth="1"/>
    <col min="3" max="3" width="5.3984375" style="1" customWidth="1"/>
    <col min="4" max="4" width="10.09765625" style="1" customWidth="1"/>
    <col min="5" max="5" width="18" style="1" customWidth="1"/>
    <col min="6" max="6" width="12.69921875" style="1" customWidth="1"/>
    <col min="7" max="7" width="17" style="1" customWidth="1"/>
    <col min="8" max="8" width="13.8984375" style="1" customWidth="1"/>
    <col min="9" max="9" width="23.8984375" style="1" customWidth="1"/>
    <col min="10" max="10" width="5" style="1" bestFit="1" customWidth="1"/>
    <col min="11" max="16384" width="8.8984375" style="1"/>
  </cols>
  <sheetData>
    <row r="1" spans="2:10" ht="13.5" customHeight="1" x14ac:dyDescent="0.85"/>
    <row r="2" spans="2:10" ht="38.15" customHeight="1" x14ac:dyDescent="0.85">
      <c r="B2" s="57" t="s">
        <v>14</v>
      </c>
      <c r="C2" s="57"/>
      <c r="D2" s="57"/>
      <c r="E2" s="57"/>
      <c r="F2" s="57"/>
      <c r="G2" s="57"/>
      <c r="H2" s="57"/>
      <c r="I2" s="57"/>
      <c r="J2" s="2"/>
    </row>
    <row r="3" spans="2:10" ht="21" customHeight="1" x14ac:dyDescent="0.85">
      <c r="B3" s="3" t="s">
        <v>29</v>
      </c>
      <c r="C3" s="4"/>
      <c r="D3" s="4"/>
      <c r="E3" s="4"/>
      <c r="F3" s="4"/>
      <c r="G3" s="4"/>
      <c r="H3" s="4"/>
      <c r="I3" s="5" t="s">
        <v>13</v>
      </c>
      <c r="J3" s="2"/>
    </row>
    <row r="4" spans="2:10" ht="24" customHeight="1" x14ac:dyDescent="0.85">
      <c r="B4" s="6" t="s">
        <v>30</v>
      </c>
      <c r="C4" s="6"/>
      <c r="D4" s="6"/>
      <c r="E4" s="6"/>
      <c r="F4" s="6"/>
      <c r="G4" s="6"/>
      <c r="H4" s="6"/>
      <c r="I4" s="7" t="s">
        <v>34</v>
      </c>
    </row>
    <row r="5" spans="2:10" ht="24" customHeight="1" x14ac:dyDescent="0.85">
      <c r="B5" s="8" t="s">
        <v>37</v>
      </c>
      <c r="C5" s="8"/>
      <c r="D5" s="8"/>
      <c r="E5" s="8"/>
      <c r="F5" s="8"/>
      <c r="G5" s="9"/>
      <c r="H5" s="9"/>
      <c r="I5" s="10"/>
    </row>
    <row r="6" spans="2:10" ht="23.15" customHeight="1" x14ac:dyDescent="0.85">
      <c r="B6" s="11" t="s">
        <v>15</v>
      </c>
      <c r="C6" s="12"/>
      <c r="D6" s="2"/>
      <c r="E6" s="2"/>
      <c r="F6" s="2"/>
      <c r="G6" s="2"/>
      <c r="H6" s="13" t="s">
        <v>8</v>
      </c>
      <c r="I6" s="14" t="s">
        <v>42</v>
      </c>
    </row>
    <row r="7" spans="2:10" x14ac:dyDescent="0.85">
      <c r="B7" s="11" t="s">
        <v>17</v>
      </c>
      <c r="C7" s="12"/>
      <c r="D7" s="12"/>
      <c r="E7" s="12"/>
      <c r="F7" s="12"/>
      <c r="G7" s="12"/>
      <c r="H7" s="15" t="s">
        <v>7</v>
      </c>
      <c r="I7" s="16">
        <v>46254</v>
      </c>
    </row>
    <row r="8" spans="2:10" ht="23.25" customHeight="1" x14ac:dyDescent="0.85">
      <c r="B8" s="15" t="s">
        <v>16</v>
      </c>
      <c r="C8" s="17"/>
      <c r="D8" s="12" t="s">
        <v>35</v>
      </c>
      <c r="E8" s="12"/>
      <c r="F8" s="12"/>
      <c r="G8" s="12"/>
      <c r="H8" s="12"/>
    </row>
    <row r="9" spans="2:10" ht="26.25" customHeight="1" x14ac:dyDescent="0.85">
      <c r="B9" s="2"/>
      <c r="C9" s="2"/>
      <c r="D9" s="12" t="s">
        <v>36</v>
      </c>
      <c r="E9" s="12"/>
      <c r="F9" s="12"/>
      <c r="G9" s="12"/>
      <c r="H9" s="12"/>
      <c r="I9" s="2"/>
      <c r="J9" s="2"/>
    </row>
    <row r="10" spans="2:10" ht="27" customHeight="1" x14ac:dyDescent="0.85">
      <c r="B10" s="18"/>
      <c r="C10" s="18"/>
      <c r="D10" s="12" t="s">
        <v>38</v>
      </c>
      <c r="E10" s="12"/>
      <c r="F10" s="12"/>
      <c r="G10" s="12"/>
      <c r="H10" s="12"/>
      <c r="I10" s="2"/>
      <c r="J10" s="2"/>
    </row>
    <row r="11" spans="2:10" ht="18" customHeight="1" x14ac:dyDescent="0.85">
      <c r="B11" s="18"/>
      <c r="C11" s="19" t="s">
        <v>18</v>
      </c>
      <c r="D11" s="2"/>
      <c r="E11" s="2"/>
      <c r="F11" s="2"/>
      <c r="G11" s="2"/>
      <c r="H11" s="2"/>
      <c r="I11" s="2"/>
      <c r="J11" s="2"/>
    </row>
    <row r="12" spans="2:10" ht="10" customHeight="1" x14ac:dyDescent="0.85">
      <c r="B12" s="20"/>
      <c r="C12" s="21"/>
      <c r="D12" s="21"/>
      <c r="E12" s="21"/>
      <c r="F12" s="21"/>
      <c r="G12" s="21"/>
      <c r="H12" s="21"/>
      <c r="I12" s="21"/>
      <c r="J12" s="2"/>
    </row>
    <row r="13" spans="2:10" s="12" customFormat="1" ht="18.5" x14ac:dyDescent="0.65">
      <c r="B13" s="22" t="s">
        <v>0</v>
      </c>
      <c r="C13" s="23"/>
      <c r="D13" s="23"/>
      <c r="E13" s="24" t="s">
        <v>1</v>
      </c>
      <c r="F13" s="23"/>
      <c r="G13" s="22" t="s">
        <v>10</v>
      </c>
      <c r="H13" s="22" t="s">
        <v>12</v>
      </c>
      <c r="I13" s="22" t="s">
        <v>4</v>
      </c>
      <c r="J13" s="11"/>
    </row>
    <row r="14" spans="2:10" s="12" customFormat="1" ht="18.5" x14ac:dyDescent="0.65">
      <c r="B14" s="25" t="s">
        <v>2</v>
      </c>
      <c r="C14" s="26"/>
      <c r="D14" s="26"/>
      <c r="E14" s="27" t="s">
        <v>6</v>
      </c>
      <c r="F14" s="26"/>
      <c r="G14" s="25" t="s">
        <v>11</v>
      </c>
      <c r="H14" s="25" t="s">
        <v>3</v>
      </c>
      <c r="I14" s="25" t="s">
        <v>5</v>
      </c>
    </row>
    <row r="15" spans="2:10" s="12" customFormat="1" ht="18.5" x14ac:dyDescent="0.65">
      <c r="B15" s="28"/>
      <c r="C15" s="29"/>
      <c r="D15" s="29"/>
      <c r="E15" s="30"/>
      <c r="F15" s="31"/>
      <c r="G15" s="28"/>
      <c r="H15" s="32"/>
      <c r="I15" s="28"/>
    </row>
    <row r="16" spans="2:10" ht="39.75" customHeight="1" x14ac:dyDescent="0.85">
      <c r="B16" s="33">
        <v>1</v>
      </c>
      <c r="C16" s="58" t="s">
        <v>39</v>
      </c>
      <c r="D16" s="59"/>
      <c r="E16" s="59"/>
      <c r="F16" s="60"/>
      <c r="G16" s="34"/>
      <c r="H16" s="35"/>
      <c r="I16" s="36"/>
    </row>
    <row r="17" spans="2:9" ht="25.5" customHeight="1" x14ac:dyDescent="0.85">
      <c r="B17" s="33"/>
      <c r="C17" s="61" t="s">
        <v>40</v>
      </c>
      <c r="D17" s="62"/>
      <c r="E17" s="62"/>
      <c r="F17" s="63"/>
      <c r="G17" s="34"/>
      <c r="H17" s="35"/>
      <c r="I17" s="36"/>
    </row>
    <row r="18" spans="2:9" ht="43.5" customHeight="1" x14ac:dyDescent="0.85">
      <c r="B18" s="33"/>
      <c r="C18" s="61" t="s">
        <v>44</v>
      </c>
      <c r="D18" s="62"/>
      <c r="E18" s="62"/>
      <c r="F18" s="63"/>
      <c r="G18" s="34">
        <v>6050</v>
      </c>
      <c r="H18" s="37">
        <v>3</v>
      </c>
      <c r="I18" s="36">
        <f>G18*H18</f>
        <v>18150</v>
      </c>
    </row>
    <row r="19" spans="2:9" ht="26.25" customHeight="1" x14ac:dyDescent="0.85">
      <c r="B19" s="33"/>
      <c r="C19" s="64" t="s">
        <v>43</v>
      </c>
      <c r="D19" s="65"/>
      <c r="E19" s="65"/>
      <c r="F19" s="66"/>
      <c r="G19" s="34"/>
      <c r="H19" s="35"/>
      <c r="I19" s="36">
        <f>G19*H19</f>
        <v>0</v>
      </c>
    </row>
    <row r="20" spans="2:9" s="2" customFormat="1" ht="21.5" x14ac:dyDescent="0.75">
      <c r="B20" s="70" t="str">
        <f>BAHTTEXT(I20)</f>
        <v>หนึ่งหมื่นแปดพันหนึ่งร้อยห้าสิบบาทถ้วน</v>
      </c>
      <c r="C20" s="71"/>
      <c r="D20" s="71"/>
      <c r="E20" s="71"/>
      <c r="F20" s="71"/>
      <c r="G20" s="72"/>
      <c r="H20" s="38" t="s">
        <v>9</v>
      </c>
      <c r="I20" s="39">
        <f>SUM(I16:I19)</f>
        <v>18150</v>
      </c>
    </row>
    <row r="21" spans="2:9" s="2" customFormat="1" ht="10" customHeight="1" x14ac:dyDescent="0.75">
      <c r="B21" s="40"/>
      <c r="C21" s="41"/>
      <c r="D21" s="41"/>
      <c r="E21" s="41"/>
      <c r="F21" s="41"/>
      <c r="G21" s="41"/>
      <c r="H21" s="42"/>
      <c r="I21" s="43"/>
    </row>
    <row r="22" spans="2:9" s="2" customFormat="1" ht="21.5" x14ac:dyDescent="0.75">
      <c r="B22" s="73"/>
      <c r="C22" s="74"/>
      <c r="D22" s="74"/>
      <c r="E22" s="74"/>
      <c r="F22" s="74"/>
      <c r="G22" s="75"/>
      <c r="H22" s="44" t="s">
        <v>32</v>
      </c>
      <c r="I22" s="43">
        <f>I20*0.07</f>
        <v>1270.5000000000002</v>
      </c>
    </row>
    <row r="23" spans="2:9" s="2" customFormat="1" ht="24" thickBot="1" x14ac:dyDescent="0.8">
      <c r="B23" s="76" t="str">
        <f>CONCATENATE("(   ***", BAHTTEXT(I23), "***   )")</f>
        <v>(   ***หนึ่งหมื่นเก้าพันสี่ร้อยยี่สิบบาทห้าสิบสตางค์***   )</v>
      </c>
      <c r="C23" s="77"/>
      <c r="D23" s="77"/>
      <c r="E23" s="77"/>
      <c r="F23" s="77"/>
      <c r="G23" s="78"/>
      <c r="H23" s="45" t="s">
        <v>33</v>
      </c>
      <c r="I23" s="46">
        <f>I20+I22</f>
        <v>19420.5</v>
      </c>
    </row>
    <row r="24" spans="2:9" s="2" customFormat="1" ht="10.5" customHeight="1" thickTop="1" x14ac:dyDescent="0.75">
      <c r="B24" s="47"/>
      <c r="C24" s="47"/>
      <c r="D24" s="47"/>
      <c r="E24" s="47"/>
      <c r="F24" s="47"/>
      <c r="G24" s="47"/>
      <c r="H24" s="48"/>
      <c r="I24" s="49"/>
    </row>
    <row r="25" spans="2:9" s="2" customFormat="1" ht="21.5" x14ac:dyDescent="0.75">
      <c r="B25" s="47"/>
      <c r="C25" s="50" t="s">
        <v>25</v>
      </c>
      <c r="D25" s="50"/>
      <c r="E25" s="50"/>
      <c r="F25" s="50"/>
      <c r="G25" s="47"/>
      <c r="H25" s="51"/>
      <c r="I25" s="52"/>
    </row>
    <row r="26" spans="2:9" s="2" customFormat="1" ht="18.75" customHeight="1" x14ac:dyDescent="0.75">
      <c r="B26" s="53"/>
      <c r="C26" s="13" t="s">
        <v>26</v>
      </c>
      <c r="D26" s="54"/>
      <c r="E26" s="55">
        <f>I23-(I20*0.03)</f>
        <v>18876</v>
      </c>
      <c r="F26" s="13" t="s">
        <v>27</v>
      </c>
      <c r="G26" s="53"/>
      <c r="H26" s="51"/>
      <c r="I26" s="52"/>
    </row>
    <row r="27" spans="2:9" s="2" customFormat="1" ht="13" customHeight="1" x14ac:dyDescent="0.75">
      <c r="B27" s="17"/>
      <c r="C27" s="53"/>
      <c r="D27" s="53"/>
      <c r="E27" s="53"/>
      <c r="F27" s="53"/>
      <c r="G27" s="53"/>
      <c r="H27" s="51"/>
      <c r="I27" s="52"/>
    </row>
    <row r="28" spans="2:9" s="2" customFormat="1" ht="21.5" x14ac:dyDescent="0.75">
      <c r="B28" s="15" t="s">
        <v>19</v>
      </c>
      <c r="C28" s="53"/>
      <c r="D28" s="53"/>
      <c r="E28" s="53"/>
      <c r="F28" s="53"/>
      <c r="G28" s="53"/>
      <c r="H28" s="51"/>
      <c r="I28" s="52"/>
    </row>
    <row r="29" spans="2:9" s="2" customFormat="1" ht="21.5" x14ac:dyDescent="0.75">
      <c r="B29" s="12" t="s">
        <v>20</v>
      </c>
      <c r="C29" s="53"/>
      <c r="D29" s="53"/>
      <c r="E29" s="53"/>
      <c r="F29" s="53"/>
      <c r="G29" s="53"/>
      <c r="H29" s="51"/>
      <c r="I29" s="52"/>
    </row>
    <row r="30" spans="2:9" s="2" customFormat="1" ht="9" customHeight="1" x14ac:dyDescent="0.75">
      <c r="C30" s="53"/>
      <c r="D30" s="53"/>
      <c r="E30" s="53"/>
      <c r="F30" s="53"/>
      <c r="G30" s="53"/>
      <c r="H30" s="51"/>
      <c r="I30" s="52"/>
    </row>
    <row r="31" spans="2:9" s="2" customFormat="1" ht="21.5" x14ac:dyDescent="0.75">
      <c r="B31" s="2" t="s">
        <v>21</v>
      </c>
      <c r="C31" s="53"/>
      <c r="D31" s="53"/>
      <c r="E31" s="53"/>
      <c r="F31" s="53"/>
      <c r="G31" s="53"/>
      <c r="H31" s="51"/>
      <c r="I31" s="52"/>
    </row>
    <row r="32" spans="2:9" s="2" customFormat="1" x14ac:dyDescent="0.85">
      <c r="B32" s="17" t="s">
        <v>22</v>
      </c>
      <c r="C32" s="1"/>
      <c r="D32" s="53"/>
      <c r="E32" s="1"/>
      <c r="F32" s="53"/>
      <c r="G32" s="53"/>
      <c r="H32" s="51"/>
      <c r="I32" s="52"/>
    </row>
    <row r="33" spans="2:10" s="2" customFormat="1" x14ac:dyDescent="0.85">
      <c r="B33" s="17" t="s">
        <v>45</v>
      </c>
      <c r="C33" s="1"/>
      <c r="D33" s="53"/>
      <c r="E33" s="14"/>
      <c r="F33" s="53"/>
      <c r="G33" s="53"/>
      <c r="H33" s="51"/>
      <c r="I33" s="52"/>
    </row>
    <row r="34" spans="2:10" s="2" customFormat="1" x14ac:dyDescent="0.85">
      <c r="B34" s="17" t="s">
        <v>28</v>
      </c>
      <c r="C34" s="1"/>
      <c r="D34" s="53"/>
      <c r="E34" s="53"/>
      <c r="F34" s="53"/>
      <c r="G34" s="53"/>
      <c r="H34" s="51"/>
      <c r="I34" s="52"/>
    </row>
    <row r="35" spans="2:10" ht="48.75" customHeight="1" x14ac:dyDescent="0.85">
      <c r="B35" s="56"/>
      <c r="G35" s="56"/>
    </row>
    <row r="36" spans="2:10" x14ac:dyDescent="0.85">
      <c r="B36" s="67" t="s">
        <v>41</v>
      </c>
      <c r="C36" s="67"/>
      <c r="D36" s="67"/>
      <c r="E36" s="67"/>
      <c r="F36" s="2"/>
      <c r="G36" s="2"/>
      <c r="H36" s="67" t="s">
        <v>41</v>
      </c>
      <c r="I36" s="67"/>
    </row>
    <row r="37" spans="2:10" x14ac:dyDescent="0.85">
      <c r="B37" s="67" t="s">
        <v>23</v>
      </c>
      <c r="C37" s="67"/>
      <c r="D37" s="67"/>
      <c r="E37" s="67"/>
      <c r="F37" s="2"/>
      <c r="G37" s="13"/>
      <c r="H37" s="67" t="s">
        <v>24</v>
      </c>
      <c r="I37" s="67"/>
    </row>
    <row r="38" spans="2:10" x14ac:dyDescent="0.85">
      <c r="B38" s="68">
        <f>I7</f>
        <v>46254</v>
      </c>
      <c r="C38" s="69"/>
      <c r="D38" s="69"/>
      <c r="E38" s="69"/>
      <c r="F38" s="2"/>
      <c r="G38" s="2"/>
      <c r="H38" s="68">
        <f>B38</f>
        <v>46254</v>
      </c>
      <c r="I38" s="69"/>
      <c r="J38" s="2"/>
    </row>
    <row r="39" spans="2:10" ht="68.5" customHeight="1" x14ac:dyDescent="0.85"/>
  </sheetData>
  <mergeCells count="14">
    <mergeCell ref="B2:I2"/>
    <mergeCell ref="C16:F16"/>
    <mergeCell ref="C17:F17"/>
    <mergeCell ref="C18:F18"/>
    <mergeCell ref="H37:I37"/>
    <mergeCell ref="B38:E38"/>
    <mergeCell ref="H38:I38"/>
    <mergeCell ref="C19:F19"/>
    <mergeCell ref="B20:G20"/>
    <mergeCell ref="B22:G22"/>
    <mergeCell ref="B23:G23"/>
    <mergeCell ref="B36:E36"/>
    <mergeCell ref="H36:I36"/>
    <mergeCell ref="B37:E37"/>
  </mergeCells>
  <printOptions horizontalCentered="1"/>
  <pageMargins left="0" right="0" top="0.5" bottom="0" header="0.59" footer="0.16"/>
  <pageSetup paperSize="9" scale="87" orientation="portrait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Tax.original</vt:lpstr>
      <vt:lpstr>Tax.Copy 1</vt:lpstr>
      <vt:lpstr>'Tax.Copy 1'!Print_Area</vt:lpstr>
      <vt:lpstr>Tax.original!Print_Area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Valued Customer</dc:creator>
  <cp:lastModifiedBy>Kanyarat Derive</cp:lastModifiedBy>
  <cp:lastPrinted>2026-07-20T05:15:45Z</cp:lastPrinted>
  <dcterms:created xsi:type="dcterms:W3CDTF">1999-09-13T06:57:29Z</dcterms:created>
  <dcterms:modified xsi:type="dcterms:W3CDTF">2026-07-20T05:20:07Z</dcterms:modified>
</cp:coreProperties>
</file>